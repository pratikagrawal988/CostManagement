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 Tracker" sheetId="2" state="visible" r:id="rId4"/>
  </sheets>
  <definedNames>
    <definedName function="false" hidden="true" localSheetId="1" name="_xlnm._FilterDatabase" vbProcedure="false">'Feature Tracker'!$A$1:$H$69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<sst xmlns="http://schemas.openxmlformats.org/spreadsheetml/2006/main" count="487" uniqueCount="203">
  <si>
    <t xml:space="preserve">FinOps SaaS — Feature Build Status</t>
  </si>
  <si>
    <t xml:space="preserve">Source: IMPLEMENTATION_STATUS_MATRIX.md reconciled with lumen.html (commit f4795a4, May 24, 2026). Update Status on Feature Tracker sheet; this page recalculates.</t>
  </si>
  <si>
    <t xml:space="preserve">Category</t>
  </si>
  <si>
    <t xml:space="preserve">Built</t>
  </si>
  <si>
    <t xml:space="preserve">Partial</t>
  </si>
  <si>
    <t xml:space="preserve">In Progress</t>
  </si>
  <si>
    <t xml:space="preserve">Not Built</t>
  </si>
  <si>
    <t xml:space="preserve">Total</t>
  </si>
  <si>
    <t xml:space="preserve">% Complete</t>
  </si>
  <si>
    <t xml:space="preserve">Dashboards &amp; Visualization</t>
  </si>
  <si>
    <t xml:space="preserve">Cost Aggregation (Backend)</t>
  </si>
  <si>
    <t xml:space="preserve">Cost Normalization</t>
  </si>
  <si>
    <t xml:space="preserve">Credential Management</t>
  </si>
  <si>
    <t xml:space="preserve">Budgeting &amp; Cost Control</t>
  </si>
  <si>
    <t xml:space="preserve">Optimization &amp; Recommendations</t>
  </si>
  <si>
    <t xml:space="preserve">Security &amp; Access Control</t>
  </si>
  <si>
    <t xml:space="preserve">User Management</t>
  </si>
  <si>
    <t xml:space="preserve">APIs &amp; Integrations</t>
  </si>
  <si>
    <t xml:space="preserve">Advanced Analytics</t>
  </si>
  <si>
    <t xml:space="preserve">Settings</t>
  </si>
  <si>
    <t xml:space="preserve">TOTAL</t>
  </si>
  <si>
    <t xml:space="preserve">Recommended next steps (per roadmap):</t>
  </si>
  <si>
    <t xml:space="preserve">Phase 10: Azure + GCP credential UIs (26 pts, ~2 wks)</t>
  </si>
  <si>
    <t xml:space="preserve">Phase 12: RBAC framework, backend user mgmt, audit logging (68 pts, ~3 wks)</t>
  </si>
  <si>
    <t xml:space="preserve">Phase 13: Budget management + alerts (34 pts, ~2.5 wks)</t>
  </si>
  <si>
    <t xml:space="preserve">Phase 14: Recommendation integration + cost impact tracking (34 pts)</t>
  </si>
  <si>
    <t xml:space="preserve">Feature</t>
  </si>
  <si>
    <t xml:space="preserve">Sub-Feature / Detail</t>
  </si>
  <si>
    <t xml:space="preserve">Cloud Scope</t>
  </si>
  <si>
    <t xml:space="preserve">Status</t>
  </si>
  <si>
    <t xml:space="preserve">Phase</t>
  </si>
  <si>
    <t xml:space="preserve">Story Points</t>
  </si>
  <si>
    <t xml:space="preserve">Notes</t>
  </si>
  <si>
    <t xml:space="preserve">Executive Summary</t>
  </si>
  <si>
    <t xml:space="preserve">C-level view, forecasts, strategic insights</t>
  </si>
  <si>
    <t xml:space="preserve">Multi-cloud</t>
  </si>
  <si>
    <t xml:space="preserve">Done</t>
  </si>
  <si>
    <t xml:space="preserve">In lumen.html</t>
  </si>
  <si>
    <t xml:space="preserve">Finance Portal</t>
  </si>
  <si>
    <t xml:space="preserve">90-day trends, cost drivers, account breakdown</t>
  </si>
  <si>
    <t xml:space="preserve">FinOps Analytics</t>
  </si>
  <si>
    <t xml:space="preserve">Service breakdown, AI services, recommendations</t>
  </si>
  <si>
    <t xml:space="preserve">Team Cost Dashboard</t>
  </si>
  <si>
    <t xml:space="preserve">Cost allocation, budgets, team resources</t>
  </si>
  <si>
    <t xml:space="preserve">AWS Dashboard</t>
  </si>
  <si>
    <t xml:space="preserve">AWS metrics, RI/SP, account hierarchy</t>
  </si>
  <si>
    <t xml:space="preserve">AWS</t>
  </si>
  <si>
    <t xml:space="preserve">11</t>
  </si>
  <si>
    <t xml:space="preserve">13</t>
  </si>
  <si>
    <t xml:space="preserve">Added May 24, 2026 (commit f4795a4)</t>
  </si>
  <si>
    <t xml:space="preserve">Azure Dashboard</t>
  </si>
  <si>
    <t xml:space="preserve">Azure metrics, reservations, subscriptions</t>
  </si>
  <si>
    <t xml:space="preserve">Azure</t>
  </si>
  <si>
    <t xml:space="preserve">Added May 24, 2026</t>
  </si>
  <si>
    <t xml:space="preserve">GCP Dashboard</t>
  </si>
  <si>
    <t xml:space="preserve">GCP metrics, CUD, projects</t>
  </si>
  <si>
    <t xml:space="preserve">GCP</t>
  </si>
  <si>
    <t xml:space="preserve">FOCUS Normalized View</t>
  </si>
  <si>
    <t xml:space="preserve">Unified cross-cloud view using FOCUS fields</t>
  </si>
  <si>
    <t xml:space="preserve">21</t>
  </si>
  <si>
    <t xml:space="preserve">AI Cost Dashboard</t>
  </si>
  <si>
    <t xml:space="preserve">Model costs, token analytics, optimization</t>
  </si>
  <si>
    <t xml:space="preserve">Custom Dashboard Builder</t>
  </si>
  <si>
    <t xml:space="preserve">Drag-and-drop dashboard creation</t>
  </si>
  <si>
    <t xml:space="preserve">16</t>
  </si>
  <si>
    <t xml:space="preserve">Scheduled Reports</t>
  </si>
  <si>
    <t xml:space="preserve">Report generation and distribution</t>
  </si>
  <si>
    <t xml:space="preserve">Cost Ingestion Engine</t>
  </si>
  <si>
    <t xml:space="preserve">AWS CUR via S3</t>
  </si>
  <si>
    <t xml:space="preserve">Complete backend</t>
  </si>
  <si>
    <t xml:space="preserve">Azure Cost Management API</t>
  </si>
  <si>
    <t xml:space="preserve">GCP BigQuery billing export</t>
  </si>
  <si>
    <t xml:space="preserve">Cost Schema Mapping</t>
  </si>
  <si>
    <t xml:space="preserve">Provider schema -&gt; internal schema</t>
  </si>
  <si>
    <t xml:space="preserve">All</t>
  </si>
  <si>
    <t xml:space="preserve">Service Categorization</t>
  </si>
  <si>
    <t xml:space="preserve">25+ AWS, 25+ Azure, 30+ GCP services</t>
  </si>
  <si>
    <t xml:space="preserve">Multi-Tenant Isolation</t>
  </si>
  <si>
    <t xml:space="preserve">Tenant separation in ingestion</t>
  </si>
  <si>
    <t xml:space="preserve">Job Scheduling</t>
  </si>
  <si>
    <t xml:space="preserve">cost_ingest, focus_transform jobs</t>
  </si>
  <si>
    <t xml:space="preserve">Data Pipeline Monitoring</t>
  </si>
  <si>
    <t xml:space="preserve">Job status tracking</t>
  </si>
  <si>
    <t xml:space="preserve">FOCUS Schema Transformation</t>
  </si>
  <si>
    <t xml:space="preserve">invoice_issuer, service_name, service_category</t>
  </si>
  <si>
    <t xml:space="preserve">AI Service Classification</t>
  </si>
  <si>
    <t xml:space="preserve">Claude, GPT-4, Vertex AI, etc.</t>
  </si>
  <si>
    <t xml:space="preserve">Multi-Cloud Comparison</t>
  </si>
  <si>
    <t xml:space="preserve">Cross-cloud analysis via FOCUS dashboard</t>
  </si>
  <si>
    <t xml:space="preserve">Unblocked by FOCUS dashboard (May 24)</t>
  </si>
  <si>
    <t xml:space="preserve">AWS Credential UI</t>
  </si>
  <si>
    <t xml:space="preserve">Create/edit/delete S3 config, test connection</t>
  </si>
  <si>
    <t xml:space="preserve">Azure Credential UI</t>
  </si>
  <si>
    <t xml:space="preserve">Service Principal auth, Cost API connection</t>
  </si>
  <si>
    <t xml:space="preserve">10</t>
  </si>
  <si>
    <t xml:space="preserve">Built Jul 9, 2026 — unified CredentialManager.jsx with setup guides; wired to /api/v1 endpoints</t>
  </si>
  <si>
    <t xml:space="preserve">GCP Credential UI</t>
  </si>
  <si>
    <t xml:space="preserve">Service Account auth, BigQuery connection</t>
  </si>
  <si>
    <t xml:space="preserve">Multi-Cloud Admin Hub</t>
  </si>
  <si>
    <t xml:space="preserve">Unified credential view, provider status, sync metrics</t>
  </si>
  <si>
    <t xml:space="preserve">Config Validation (backend)</t>
  </si>
  <si>
    <t xml:space="preserve">All three clouds</t>
  </si>
  <si>
    <t xml:space="preserve">Test Connection (backend)</t>
  </si>
  <si>
    <t xml:space="preserve">Credential Encryption</t>
  </si>
  <si>
    <t xml:space="preserve">DB-level encryption</t>
  </si>
  <si>
    <t xml:space="preserve">Credential Rotation</t>
  </si>
  <si>
    <t xml:space="preserve">Automated key rotation</t>
  </si>
  <si>
    <t xml:space="preserve">Multi-Config Support</t>
  </si>
  <si>
    <t xml:space="preserve">Multiple configs per provider</t>
  </si>
  <si>
    <t xml:space="preserve">Budget Tracking</t>
  </si>
  <si>
    <t xml:space="preserve">Basic tracking in Team Dashboard</t>
  </si>
  <si>
    <t xml:space="preserve">Built Jul 11, 2026 — live actuals from FocusCost, utilization %, Live view in Budgets screen</t>
  </si>
  <si>
    <t xml:space="preserve">Budget Creation</t>
  </si>
  <si>
    <t xml:space="preserve">Hierarchical budget builder</t>
  </si>
  <si>
    <t xml:space="preserve">Built Jul 11, 2026 — /api/budgets CRUD, scoped by provider/category/account, RBAC-guarded</t>
  </si>
  <si>
    <t xml:space="preserve">Budget vs Actual</t>
  </si>
  <si>
    <t xml:space="preserve">Variance tracking</t>
  </si>
  <si>
    <t xml:space="preserve">Built Jul 11, 2026 — per-period + monthly history endpoint</t>
  </si>
  <si>
    <t xml:space="preserve">Forecasting</t>
  </si>
  <si>
    <t xml:space="preserve">Spend forecasting</t>
  </si>
  <si>
    <t xml:space="preserve">Run-rate EOP forecast per budget built Jul 11; ML models pending</t>
  </si>
  <si>
    <t xml:space="preserve">Alerts &amp; Notifications</t>
  </si>
  <si>
    <t xml:space="preserve">Threshold alerts</t>
  </si>
  <si>
    <t xml:space="preserve">Threshold alerts (warning/over) in API+UI built Jul 11; email/Slack delivery pending</t>
  </si>
  <si>
    <t xml:space="preserve">Budget Enforcement</t>
  </si>
  <si>
    <t xml:space="preserve">Hard limits / actions</t>
  </si>
  <si>
    <t xml:space="preserve">Cost Optimization Recommendations</t>
  </si>
  <si>
    <t xml:space="preserve">Static examples in FinOps Analytics</t>
  </si>
  <si>
    <t xml:space="preserve">14</t>
  </si>
  <si>
    <t xml:space="preserve">Built Jul 11, 2026 — cost_recommendations.py: 3 detectors over FOCUS data, verified $4.6k/mo findings</t>
  </si>
  <si>
    <t xml:space="preserve">CSP-Native Recommendations</t>
  </si>
  <si>
    <t xml:space="preserve">Trusted Advisor, Azure Advisor, GCP Recommender</t>
  </si>
  <si>
    <t xml:space="preserve">Rule-based equivalents (SP/RI/CUD coverage, rightsizing, unused commitments) built Jul 11; direct Advisor API pulls pending</t>
  </si>
  <si>
    <t xml:space="preserve">Recommendation Tracking</t>
  </si>
  <si>
    <t xml:space="preserve">Status workflow for recs</t>
  </si>
  <si>
    <t xml:space="preserve">Built Jul 11, 2026 — findings workflow (new→approved verified), dedupe on re-evaluation</t>
  </si>
  <si>
    <t xml:space="preserve">Cost Impact / ROI Calculation</t>
  </si>
  <si>
    <t xml:space="preserve">Savings measurement</t>
  </si>
  <si>
    <t xml:space="preserve">Estimated savings + confidence bands per finding built Jul 11; realized-impact via outcomes not yet exercised</t>
  </si>
  <si>
    <t xml:space="preserve">Backtest Framework</t>
  </si>
  <si>
    <t xml:space="preserve">Optimization testing</t>
  </si>
  <si>
    <t xml:space="preserve">Endpoint exists; logic is placeholder pending real signal data</t>
  </si>
  <si>
    <t xml:space="preserve">Automated Remediation</t>
  </si>
  <si>
    <t xml:space="preserve">Auto-apply recommendations</t>
  </si>
  <si>
    <t xml:space="preserve">17+</t>
  </si>
  <si>
    <t xml:space="preserve">Enforced at DB level</t>
  </si>
  <si>
    <t xml:space="preserve">Tenant-Scoped Filtering</t>
  </si>
  <si>
    <t xml:space="preserve">All queries filtered by tenant_id</t>
  </si>
  <si>
    <t xml:space="preserve">Secrets Management</t>
  </si>
  <si>
    <t xml:space="preserve">Credential encryption</t>
  </si>
  <si>
    <t xml:space="preserve">RBAC Framework</t>
  </si>
  <si>
    <t xml:space="preserve">Roles, hierarchy, permission enforcement</t>
  </si>
  <si>
    <t xml:space="preserve">12</t>
  </si>
  <si>
    <t xml:space="preserve">34</t>
  </si>
  <si>
    <t xml:space="preserve">Built Jul 10, 2026 — rbac.py: 6 roles, permission matrix, require_permission; enforced on credential routes</t>
  </si>
  <si>
    <t xml:space="preserve">Row-Level Security</t>
  </si>
  <si>
    <t xml:space="preserve">Scope by department/project</t>
  </si>
  <si>
    <t xml:space="preserve">SSO / OAuth 2.0</t>
  </si>
  <si>
    <t xml:space="preserve">Okta, Auth0, Cognito</t>
  </si>
  <si>
    <t xml:space="preserve">15</t>
  </si>
  <si>
    <t xml:space="preserve">MFA Support</t>
  </si>
  <si>
    <t xml:space="preserve">Multi-factor auth</t>
  </si>
  <si>
    <t xml:space="preserve">Audit Logging</t>
  </si>
  <si>
    <t xml:space="preserve">Audit log + viewer</t>
  </si>
  <si>
    <t xml:space="preserve">Built Jul 10, 2026 — AuditEvent writes on user/credential actions, /api/audit endpoint + UI trail</t>
  </si>
  <si>
    <t xml:space="preserve">User Management UI</t>
  </si>
  <si>
    <t xml:space="preserve">Provisioning, role &amp; scope assignment screens</t>
  </si>
  <si>
    <t xml:space="preserve">UI added May 24; backend enforcement pending</t>
  </si>
  <si>
    <t xml:space="preserve">User Provisioning (backend)</t>
  </si>
  <si>
    <t xml:space="preserve">Create/manage users</t>
  </si>
  <si>
    <t xml:space="preserve">Built Jul 10, 2026 — /api/users CRUD, admin-only, self-lockout guards</t>
  </si>
  <si>
    <t xml:space="preserve">Role &amp; Scope Assignment (backend)</t>
  </si>
  <si>
    <t xml:space="preserve">Department, project, account scopes</t>
  </si>
  <si>
    <t xml:space="preserve">Role assignment Built Jul 10, 2026; dept/project scope assignment (row-level security) still pending</t>
  </si>
  <si>
    <t xml:space="preserve">User Activity Tracking</t>
  </si>
  <si>
    <t xml:space="preserve">Usage analytics</t>
  </si>
  <si>
    <t xml:space="preserve">Delegation / Impersonation</t>
  </si>
  <si>
    <t xml:space="preserve">Admin impersonation</t>
  </si>
  <si>
    <t xml:space="preserve">REST API for Costs</t>
  </si>
  <si>
    <t xml:space="preserve">6 endpoints (summary, daily, by service...)</t>
  </si>
  <si>
    <t xml:space="preserve">GraphQL API</t>
  </si>
  <si>
    <t xml:space="preserve">Flexible querying</t>
  </si>
  <si>
    <t xml:space="preserve">Webhook Support</t>
  </si>
  <si>
    <t xml:space="preserve">Event notifications</t>
  </si>
  <si>
    <t xml:space="preserve">Slack Integration</t>
  </si>
  <si>
    <t xml:space="preserve">Alerts and digests</t>
  </si>
  <si>
    <t xml:space="preserve">Email Reporting</t>
  </si>
  <si>
    <t xml:space="preserve">Scheduled email reports</t>
  </si>
  <si>
    <t xml:space="preserve">BI Tool Integration</t>
  </si>
  <si>
    <t xml:space="preserve">Tableau, PowerBI, Looker</t>
  </si>
  <si>
    <t xml:space="preserve">DataDog / NewRelic Integration</t>
  </si>
  <si>
    <t xml:space="preserve">Observability cost correlation</t>
  </si>
  <si>
    <t xml:space="preserve">Forecasting Models</t>
  </si>
  <si>
    <t xml:space="preserve">ML-based spend forecasting</t>
  </si>
  <si>
    <t xml:space="preserve">Anomaly Detection</t>
  </si>
  <si>
    <t xml:space="preserve">Spend anomaly alerts</t>
  </si>
  <si>
    <t xml:space="preserve">UI prototype (anomalies.jsx in UI_src); no backend</t>
  </si>
  <si>
    <t xml:space="preserve">Custom Report Builder</t>
  </si>
  <si>
    <t xml:space="preserve">Ad hoc reporting</t>
  </si>
  <si>
    <t xml:space="preserve">Organization Settings</t>
  </si>
  <si>
    <t xml:space="preserve">Org-level config</t>
  </si>
  <si>
    <t xml:space="preserve">Notification Preferences</t>
  </si>
  <si>
    <t xml:space="preserve">Per-user notification config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</si>
</sst>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9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f aca="false">COUNTIFS('Feature Tracker'!$A$2:$A$69,A5,'Feature Tracker'!$E$2:$E$69,"Built")</f>
        <v>9</v>
      </c>
      <c r="C5" s="6" t="n">
        <f aca="false">COUNTIFS('Feature Tracker'!$A$2:$A$69,A5,'Feature Tracker'!$E$2:$E$69,"Partial")</f>
        <v>0</v>
      </c>
      <c r="D5" s="6" t="n">
        <f aca="false">COUNTIFS('Feature Tracker'!$A$2:$A$69,A5,'Feature Tracker'!$E$2:$E$69,"In Progress")</f>
        <v>0</v>
      </c>
      <c r="E5" s="6" t="n">
        <f aca="false">COUNTIFS('Feature Tracker'!$A$2:$A$69,A5,'Feature Tracker'!$E$2:$E$69,"Not Built")</f>
        <v>2</v>
      </c>
      <c r="F5" s="6" t="n">
        <f aca="false">SUM(B5:E5)</f>
        <v>11</v>
      </c>
      <c r="G5" s="7" t="n">
        <f aca="false">IF(F5=0,0,(B5+0.5*C5)/F5)</f>
        <v>0.818181818181818</v>
      </c>
    </row>
    <row r="6" customFormat="false" ht="15" hidden="false" customHeight="true" outlineLevel="0" collapsed="false">
      <c r="A6" s="5" t="s">
        <v>10</v>
      </c>
      <c r="B6" s="6" t="n">
        <f aca="false">COUNTIFS('Feature Tracker'!$A$2:$A$69,A6,'Feature Tracker'!$E$2:$E$69,"Built")</f>
        <v>8</v>
      </c>
      <c r="C6" s="6" t="n">
        <f aca="false">COUNTIFS('Feature Tracker'!$A$2:$A$69,A6,'Feature Tracker'!$E$2:$E$69,"Partial")</f>
        <v>0</v>
      </c>
      <c r="D6" s="6" t="n">
        <f aca="false">COUNTIFS('Feature Tracker'!$A$2:$A$69,A6,'Feature Tracker'!$E$2:$E$69,"In Progress")</f>
        <v>0</v>
      </c>
      <c r="E6" s="6" t="n">
        <f aca="false">COUNTIFS('Feature Tracker'!$A$2:$A$69,A6,'Feature Tracker'!$E$2:$E$69,"Not Built")</f>
        <v>0</v>
      </c>
      <c r="F6" s="6" t="n">
        <f aca="false">SUM(B6:E6)</f>
        <v>8</v>
      </c>
      <c r="G6" s="7" t="n">
        <f aca="false">IF(F6=0,0,(B6+0.5*C6)/F6)</f>
        <v>1</v>
      </c>
    </row>
    <row r="7" customFormat="false" ht="15" hidden="false" customHeight="true" outlineLevel="0" collapsed="false">
      <c r="A7" s="5" t="s">
        <v>11</v>
      </c>
      <c r="B7" s="6" t="n">
        <f aca="false">COUNTIFS('Feature Tracker'!$A$2:$A$69,A7,'Feature Tracker'!$E$2:$E$69,"Built")</f>
        <v>3</v>
      </c>
      <c r="C7" s="6" t="n">
        <f aca="false">COUNTIFS('Feature Tracker'!$A$2:$A$69,A7,'Feature Tracker'!$E$2:$E$69,"Partial")</f>
        <v>0</v>
      </c>
      <c r="D7" s="6" t="n">
        <f aca="false">COUNTIFS('Feature Tracker'!$A$2:$A$69,A7,'Feature Tracker'!$E$2:$E$69,"In Progress")</f>
        <v>0</v>
      </c>
      <c r="E7" s="6" t="n">
        <f aca="false">COUNTIFS('Feature Tracker'!$A$2:$A$69,A7,'Feature Tracker'!$E$2:$E$69,"Not Built")</f>
        <v>0</v>
      </c>
      <c r="F7" s="6" t="n">
        <f aca="false">SUM(B7:E7)</f>
        <v>3</v>
      </c>
      <c r="G7" s="7" t="n">
        <f aca="false">IF(F7=0,0,(B7+0.5*C7)/F7)</f>
        <v>1</v>
      </c>
    </row>
    <row r="8" customFormat="false" ht="15" hidden="false" customHeight="true" outlineLevel="0" collapsed="false">
      <c r="A8" s="5" t="s">
        <v>12</v>
      </c>
      <c r="B8" s="6" t="n">
        <f aca="false">COUNTIFS('Feature Tracker'!$A$2:$A$69,A8,'Feature Tracker'!$E$2:$E$69,"Built")</f>
        <v>8</v>
      </c>
      <c r="C8" s="6" t="n">
        <f aca="false">COUNTIFS('Feature Tracker'!$A$2:$A$69,A8,'Feature Tracker'!$E$2:$E$69,"Partial")</f>
        <v>0</v>
      </c>
      <c r="D8" s="6" t="n">
        <f aca="false">COUNTIFS('Feature Tracker'!$A$2:$A$69,A8,'Feature Tracker'!$E$2:$E$69,"In Progress")</f>
        <v>0</v>
      </c>
      <c r="E8" s="6" t="n">
        <f aca="false">COUNTIFS('Feature Tracker'!$A$2:$A$69,A8,'Feature Tracker'!$E$2:$E$69,"Not Built")</f>
        <v>1</v>
      </c>
      <c r="F8" s="6" t="n">
        <f aca="false">SUM(B8:E8)</f>
        <v>9</v>
      </c>
      <c r="G8" s="7" t="n">
        <f aca="false">IF(F8=0,0,(B8+0.5*C8)/F8)</f>
        <v>0.888888888888889</v>
      </c>
    </row>
    <row r="9" customFormat="false" ht="15" hidden="false" customHeight="true" outlineLevel="0" collapsed="false">
      <c r="A9" s="5" t="s">
        <v>13</v>
      </c>
      <c r="B9" s="6" t="n">
        <f aca="false">COUNTIFS('Feature Tracker'!$A$2:$A$69,A9,'Feature Tracker'!$E$2:$E$69,"Built")</f>
        <v>3</v>
      </c>
      <c r="C9" s="6" t="n">
        <f aca="false">COUNTIFS('Feature Tracker'!$A$2:$A$69,A9,'Feature Tracker'!$E$2:$E$69,"Partial")</f>
        <v>2</v>
      </c>
      <c r="D9" s="6" t="n">
        <f aca="false">COUNTIFS('Feature Tracker'!$A$2:$A$69,A9,'Feature Tracker'!$E$2:$E$69,"In Progress")</f>
        <v>0</v>
      </c>
      <c r="E9" s="6" t="n">
        <f aca="false">COUNTIFS('Feature Tracker'!$A$2:$A$69,A9,'Feature Tracker'!$E$2:$E$69,"Not Built")</f>
        <v>1</v>
      </c>
      <c r="F9" s="6" t="n">
        <f aca="false">SUM(B9:E9)</f>
        <v>6</v>
      </c>
      <c r="G9" s="7" t="n">
        <f aca="false">IF(F9=0,0,(B9+0.5*C9)/F9)</f>
        <v>0.666666666666667</v>
      </c>
    </row>
    <row r="10" customFormat="false" ht="15" hidden="false" customHeight="true" outlineLevel="0" collapsed="false">
      <c r="A10" s="5" t="s">
        <v>14</v>
      </c>
      <c r="B10" s="6" t="n">
        <f aca="false">COUNTIFS('Feature Tracker'!$A$2:$A$69,A10,'Feature Tracker'!$E$2:$E$69,"Built")</f>
        <v>2</v>
      </c>
      <c r="C10" s="6" t="n">
        <f aca="false">COUNTIFS('Feature Tracker'!$A$2:$A$69,A10,'Feature Tracker'!$E$2:$E$69,"Partial")</f>
        <v>3</v>
      </c>
      <c r="D10" s="6" t="n">
        <f aca="false">COUNTIFS('Feature Tracker'!$A$2:$A$69,A10,'Feature Tracker'!$E$2:$E$69,"In Progress")</f>
        <v>0</v>
      </c>
      <c r="E10" s="6" t="n">
        <f aca="false">COUNTIFS('Feature Tracker'!$A$2:$A$69,A10,'Feature Tracker'!$E$2:$E$69,"Not Built")</f>
        <v>1</v>
      </c>
      <c r="F10" s="6" t="n">
        <f aca="false">SUM(B10:E10)</f>
        <v>6</v>
      </c>
      <c r="G10" s="7" t="n">
        <f aca="false">IF(F10=0,0,(B10+0.5*C10)/F10)</f>
        <v>0.583333333333333</v>
      </c>
    </row>
    <row r="11" customFormat="false" ht="15" hidden="false" customHeight="true" outlineLevel="0" collapsed="false">
      <c r="A11" s="5" t="s">
        <v>15</v>
      </c>
      <c r="B11" s="6" t="n">
        <f aca="false">COUNTIFS('Feature Tracker'!$A$2:$A$69,A11,'Feature Tracker'!$E$2:$E$69,"Built")</f>
        <v>5</v>
      </c>
      <c r="C11" s="6" t="n">
        <f aca="false">COUNTIFS('Feature Tracker'!$A$2:$A$69,A11,'Feature Tracker'!$E$2:$E$69,"Partial")</f>
        <v>0</v>
      </c>
      <c r="D11" s="6" t="n">
        <f aca="false">COUNTIFS('Feature Tracker'!$A$2:$A$69,A11,'Feature Tracker'!$E$2:$E$69,"In Progress")</f>
        <v>0</v>
      </c>
      <c r="E11" s="6" t="n">
        <f aca="false">COUNTIFS('Feature Tracker'!$A$2:$A$69,A11,'Feature Tracker'!$E$2:$E$69,"Not Built")</f>
        <v>3</v>
      </c>
      <c r="F11" s="6" t="n">
        <f aca="false">SUM(B11:E11)</f>
        <v>8</v>
      </c>
      <c r="G11" s="7" t="n">
        <f aca="false">IF(F11=0,0,(B11+0.5*C11)/F11)</f>
        <v>0.625</v>
      </c>
    </row>
    <row r="12" customFormat="false" ht="15" hidden="false" customHeight="true" outlineLevel="0" collapsed="false">
      <c r="A12" s="5" t="s">
        <v>16</v>
      </c>
      <c r="B12" s="6" t="n">
        <f aca="false">COUNTIFS('Feature Tracker'!$A$2:$A$69,A12,'Feature Tracker'!$E$2:$E$69,"Built")</f>
        <v>2</v>
      </c>
      <c r="C12" s="6" t="n">
        <f aca="false">COUNTIFS('Feature Tracker'!$A$2:$A$69,A12,'Feature Tracker'!$E$2:$E$69,"Partial")</f>
        <v>1</v>
      </c>
      <c r="D12" s="6" t="n">
        <f aca="false">COUNTIFS('Feature Tracker'!$A$2:$A$69,A12,'Feature Tracker'!$E$2:$E$69,"In Progress")</f>
        <v>0</v>
      </c>
      <c r="E12" s="6" t="n">
        <f aca="false">COUNTIFS('Feature Tracker'!$A$2:$A$69,A12,'Feature Tracker'!$E$2:$E$69,"Not Built")</f>
        <v>2</v>
      </c>
      <c r="F12" s="6" t="n">
        <f aca="false">SUM(B12:E12)</f>
        <v>5</v>
      </c>
      <c r="G12" s="7" t="n">
        <f aca="false">IF(F12=0,0,(B12+0.5*C12)/F12)</f>
        <v>0.5</v>
      </c>
    </row>
    <row r="13" customFormat="false" ht="15" hidden="false" customHeight="true" outlineLevel="0" collapsed="false">
      <c r="A13" s="5" t="s">
        <v>17</v>
      </c>
      <c r="B13" s="6" t="n">
        <f aca="false">COUNTIFS('Feature Tracker'!$A$2:$A$69,A13,'Feature Tracker'!$E$2:$E$69,"Built")</f>
        <v>1</v>
      </c>
      <c r="C13" s="6" t="n">
        <f aca="false">COUNTIFS('Feature Tracker'!$A$2:$A$69,A13,'Feature Tracker'!$E$2:$E$69,"Partial")</f>
        <v>0</v>
      </c>
      <c r="D13" s="6" t="n">
        <f aca="false">COUNTIFS('Feature Tracker'!$A$2:$A$69,A13,'Feature Tracker'!$E$2:$E$69,"In Progress")</f>
        <v>0</v>
      </c>
      <c r="E13" s="6" t="n">
        <f aca="false">COUNTIFS('Feature Tracker'!$A$2:$A$69,A13,'Feature Tracker'!$E$2:$E$69,"Not Built")</f>
        <v>6</v>
      </c>
      <c r="F13" s="6" t="n">
        <f aca="false">SUM(B13:E13)</f>
        <v>7</v>
      </c>
      <c r="G13" s="7" t="n">
        <f aca="false">IF(F13=0,0,(B13+0.5*C13)/F13)</f>
        <v>0.142857142857143</v>
      </c>
    </row>
    <row r="14" customFormat="false" ht="15" hidden="false" customHeight="true" outlineLevel="0" collapsed="false">
      <c r="A14" s="5" t="s">
        <v>18</v>
      </c>
      <c r="B14" s="6" t="n">
        <f aca="false">COUNTIFS('Feature Tracker'!$A$2:$A$69,A14,'Feature Tracker'!$E$2:$E$69,"Built")</f>
        <v>0</v>
      </c>
      <c r="C14" s="6" t="n">
        <f aca="false">COUNTIFS('Feature Tracker'!$A$2:$A$69,A14,'Feature Tracker'!$E$2:$E$69,"Partial")</f>
        <v>1</v>
      </c>
      <c r="D14" s="6" t="n">
        <f aca="false">COUNTIFS('Feature Tracker'!$A$2:$A$69,A14,'Feature Tracker'!$E$2:$E$69,"In Progress")</f>
        <v>0</v>
      </c>
      <c r="E14" s="6" t="n">
        <f aca="false">COUNTIFS('Feature Tracker'!$A$2:$A$69,A14,'Feature Tracker'!$E$2:$E$69,"Not Built")</f>
        <v>2</v>
      </c>
      <c r="F14" s="6" t="n">
        <f aca="false">SUM(B14:E14)</f>
        <v>3</v>
      </c>
      <c r="G14" s="7" t="n">
        <f aca="false">IF(F14=0,0,(B14+0.5*C14)/F14)</f>
        <v>0.166666666666667</v>
      </c>
    </row>
    <row r="15" customFormat="false" ht="15" hidden="false" customHeight="true" outlineLevel="0" collapsed="false">
      <c r="A15" s="5" t="s">
        <v>19</v>
      </c>
      <c r="B15" s="6" t="n">
        <f aca="false">COUNTIFS('Feature Tracker'!$A$2:$A$69,A15,'Feature Tracker'!$E$2:$E$69,"Built")</f>
        <v>0</v>
      </c>
      <c r="C15" s="6" t="n">
        <f aca="false">COUNTIFS('Feature Tracker'!$A$2:$A$69,A15,'Feature Tracker'!$E$2:$E$69,"Partial")</f>
        <v>0</v>
      </c>
      <c r="D15" s="6" t="n">
        <f aca="false">COUNTIFS('Feature Tracker'!$A$2:$A$69,A15,'Feature Tracker'!$E$2:$E$69,"In Progress")</f>
        <v>0</v>
      </c>
      <c r="E15" s="6" t="n">
        <f aca="false">COUNTIFS('Feature Tracker'!$A$2:$A$69,A15,'Feature Tracker'!$E$2:$E$69,"Not Built")</f>
        <v>2</v>
      </c>
      <c r="F15" s="6" t="n">
        <f aca="false">SUM(B15:E15)</f>
        <v>2</v>
      </c>
      <c r="G15" s="7" t="n">
        <f aca="false">IF(F15=0,0,(B15+0.5*C15)/F15)</f>
        <v>0</v>
      </c>
    </row>
    <row r="16" customFormat="false" ht="15" hidden="false" customHeight="true" outlineLevel="0" collapsed="false">
      <c r="A16" s="8" t="s">
        <v>20</v>
      </c>
      <c r="B16" s="9" t="n">
        <f aca="false">SUM(B5:B15)</f>
        <v>41</v>
      </c>
      <c r="C16" s="9" t="n">
        <f aca="false">SUM(C5:C15)</f>
        <v>7</v>
      </c>
      <c r="D16" s="9" t="n">
        <f aca="false">SUM(D5:D15)</f>
        <v>0</v>
      </c>
      <c r="E16" s="9" t="n">
        <f aca="false">SUM(E5:E15)</f>
        <v>20</v>
      </c>
      <c r="F16" s="9" t="n">
        <f aca="false">SUM(F5:F15)</f>
        <v>68</v>
      </c>
      <c r="G16" s="10" t="n">
        <f aca="false">IF(F16=0,0,(B16+0.5*C16)/F16)</f>
        <v>0.654411764705882</v>
      </c>
    </row>
    <row r="18" customFormat="false" ht="15" hidden="false" customHeight="true" outlineLevel="0" collapsed="false">
      <c r="A18" s="11" t="s">
        <v>21</v>
      </c>
    </row>
    <row r="19" customFormat="false" ht="15" hidden="false" customHeight="true" outlineLevel="0" collapsed="false">
      <c r="A19" s="12" t="s">
        <v>22</v>
      </c>
    </row>
    <row r="20" customFormat="false" ht="15" hidden="false" customHeight="true" outlineLevel="0" collapsed="false">
      <c r="A20" s="12" t="s">
        <v>23</v>
      </c>
    </row>
    <row r="21" customFormat="false" ht="15" hidden="false" customHeight="true" outlineLevel="0" collapsed="false">
      <c r="A21" s="12" t="s">
        <v>24</v>
      </c>
    </row>
    <row r="22" customFormat="false" ht="15" hidden="false" customHeight="true" outlineLevel="0" collapsed="false">
      <c r="A22" s="12" t="s">
        <v>25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  <col collapsed="false" customWidth="true" hidden="false" outlineLevel="0" max="3" min="3" style="1" width="44"/>
    <col collapsed="false" customWidth="true" hidden="false" outlineLevel="0" max="5" min="4" style="1" width="1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42"/>
  </cols>
  <sheetData>
    <row r="1" customFormat="false" ht="15" hidden="false" customHeight="true" outlineLevel="0" collapsed="false">
      <c r="A1" s="13" t="s">
        <v>2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</row>
    <row r="2" customFormat="false" ht="15" hidden="false" customHeight="true" outlineLevel="0" collapsed="false">
      <c r="A2" s="14" t="s">
        <v>9</v>
      </c>
      <c r="B2" s="15" t="s">
        <v>33</v>
      </c>
      <c r="C2" s="16" t="s">
        <v>34</v>
      </c>
      <c r="D2" s="15" t="s">
        <v>35</v>
      </c>
      <c r="E2" s="17" t="s">
        <v>3</v>
      </c>
      <c r="F2" s="17" t="s">
        <v>36</v>
      </c>
      <c r="G2" s="17"/>
      <c r="H2" s="16" t="s">
        <v>37</v>
      </c>
    </row>
    <row r="3" customFormat="false" ht="15" hidden="false" customHeight="true" outlineLevel="0" collapsed="false">
      <c r="A3" s="14" t="s">
        <v>9</v>
      </c>
      <c r="B3" s="15" t="s">
        <v>38</v>
      </c>
      <c r="C3" s="16" t="s">
        <v>39</v>
      </c>
      <c r="D3" s="15" t="s">
        <v>35</v>
      </c>
      <c r="E3" s="17" t="s">
        <v>3</v>
      </c>
      <c r="F3" s="17" t="s">
        <v>36</v>
      </c>
      <c r="G3" s="17"/>
      <c r="H3" s="16" t="s">
        <v>37</v>
      </c>
    </row>
    <row r="4" customFormat="false" ht="15" hidden="false" customHeight="true" outlineLevel="0" collapsed="false">
      <c r="A4" s="14" t="s">
        <v>9</v>
      </c>
      <c r="B4" s="15" t="s">
        <v>40</v>
      </c>
      <c r="C4" s="16" t="s">
        <v>41</v>
      </c>
      <c r="D4" s="15" t="s">
        <v>35</v>
      </c>
      <c r="E4" s="17" t="s">
        <v>3</v>
      </c>
      <c r="F4" s="17" t="s">
        <v>36</v>
      </c>
      <c r="G4" s="17"/>
      <c r="H4" s="16" t="s">
        <v>37</v>
      </c>
    </row>
    <row r="5" customFormat="false" ht="15" hidden="false" customHeight="true" outlineLevel="0" collapsed="false">
      <c r="A5" s="14" t="s">
        <v>9</v>
      </c>
      <c r="B5" s="15" t="s">
        <v>42</v>
      </c>
      <c r="C5" s="16" t="s">
        <v>43</v>
      </c>
      <c r="D5" s="15" t="s">
        <v>35</v>
      </c>
      <c r="E5" s="17" t="s">
        <v>3</v>
      </c>
      <c r="F5" s="17" t="s">
        <v>36</v>
      </c>
      <c r="G5" s="17"/>
      <c r="H5" s="16" t="s">
        <v>37</v>
      </c>
    </row>
    <row r="6" customFormat="false" ht="15" hidden="false" customHeight="true" outlineLevel="0" collapsed="false">
      <c r="A6" s="14" t="s">
        <v>9</v>
      </c>
      <c r="B6" s="15" t="s">
        <v>44</v>
      </c>
      <c r="C6" s="16" t="s">
        <v>45</v>
      </c>
      <c r="D6" s="15" t="s">
        <v>46</v>
      </c>
      <c r="E6" s="17" t="s">
        <v>3</v>
      </c>
      <c r="F6" s="17" t="s">
        <v>47</v>
      </c>
      <c r="G6" s="17" t="s">
        <v>48</v>
      </c>
      <c r="H6" s="16" t="s">
        <v>49</v>
      </c>
    </row>
    <row r="7" customFormat="false" ht="15" hidden="false" customHeight="true" outlineLevel="0" collapsed="false">
      <c r="A7" s="14" t="s">
        <v>9</v>
      </c>
      <c r="B7" s="15" t="s">
        <v>50</v>
      </c>
      <c r="C7" s="16" t="s">
        <v>51</v>
      </c>
      <c r="D7" s="15" t="s">
        <v>52</v>
      </c>
      <c r="E7" s="17" t="s">
        <v>3</v>
      </c>
      <c r="F7" s="17" t="s">
        <v>47</v>
      </c>
      <c r="G7" s="17" t="s">
        <v>48</v>
      </c>
      <c r="H7" s="16" t="s">
        <v>53</v>
      </c>
    </row>
    <row r="8" customFormat="false" ht="15" hidden="false" customHeight="true" outlineLevel="0" collapsed="false">
      <c r="A8" s="14" t="s">
        <v>9</v>
      </c>
      <c r="B8" s="15" t="s">
        <v>54</v>
      </c>
      <c r="C8" s="16" t="s">
        <v>55</v>
      </c>
      <c r="D8" s="15" t="s">
        <v>56</v>
      </c>
      <c r="E8" s="17" t="s">
        <v>3</v>
      </c>
      <c r="F8" s="17" t="s">
        <v>47</v>
      </c>
      <c r="G8" s="17" t="s">
        <v>48</v>
      </c>
      <c r="H8" s="16" t="s">
        <v>53</v>
      </c>
    </row>
    <row r="9" customFormat="false" ht="15" hidden="false" customHeight="true" outlineLevel="0" collapsed="false">
      <c r="A9" s="14" t="s">
        <v>9</v>
      </c>
      <c r="B9" s="15" t="s">
        <v>57</v>
      </c>
      <c r="C9" s="16" t="s">
        <v>58</v>
      </c>
      <c r="D9" s="15" t="s">
        <v>35</v>
      </c>
      <c r="E9" s="17" t="s">
        <v>3</v>
      </c>
      <c r="F9" s="17" t="s">
        <v>47</v>
      </c>
      <c r="G9" s="17" t="s">
        <v>59</v>
      </c>
      <c r="H9" s="16" t="s">
        <v>53</v>
      </c>
    </row>
    <row r="10" customFormat="false" ht="15" hidden="false" customHeight="true" outlineLevel="0" collapsed="false">
      <c r="A10" s="14" t="s">
        <v>9</v>
      </c>
      <c r="B10" s="15" t="s">
        <v>60</v>
      </c>
      <c r="C10" s="16" t="s">
        <v>61</v>
      </c>
      <c r="D10" s="15" t="s">
        <v>35</v>
      </c>
      <c r="E10" s="17" t="s">
        <v>3</v>
      </c>
      <c r="F10" s="17" t="s">
        <v>47</v>
      </c>
      <c r="G10" s="17" t="s">
        <v>59</v>
      </c>
      <c r="H10" s="16" t="s">
        <v>37</v>
      </c>
    </row>
    <row r="11" customFormat="false" ht="15" hidden="false" customHeight="true" outlineLevel="0" collapsed="false">
      <c r="A11" s="14" t="s">
        <v>9</v>
      </c>
      <c r="B11" s="15" t="s">
        <v>62</v>
      </c>
      <c r="C11" s="16" t="s">
        <v>63</v>
      </c>
      <c r="D11" s="15" t="s">
        <v>35</v>
      </c>
      <c r="E11" s="17" t="s">
        <v>6</v>
      </c>
      <c r="F11" s="17" t="s">
        <v>64</v>
      </c>
      <c r="G11" s="17"/>
      <c r="H11" s="16"/>
    </row>
    <row r="12" customFormat="false" ht="15" hidden="false" customHeight="true" outlineLevel="0" collapsed="false">
      <c r="A12" s="14" t="s">
        <v>9</v>
      </c>
      <c r="B12" s="15" t="s">
        <v>65</v>
      </c>
      <c r="C12" s="16" t="s">
        <v>66</v>
      </c>
      <c r="D12" s="15" t="s">
        <v>35</v>
      </c>
      <c r="E12" s="17" t="s">
        <v>6</v>
      </c>
      <c r="F12" s="17" t="s">
        <v>64</v>
      </c>
      <c r="G12" s="17"/>
      <c r="H12" s="16"/>
    </row>
    <row r="13" customFormat="false" ht="15" hidden="false" customHeight="true" outlineLevel="0" collapsed="false">
      <c r="A13" s="14" t="s">
        <v>10</v>
      </c>
      <c r="B13" s="15" t="s">
        <v>67</v>
      </c>
      <c r="C13" s="16" t="s">
        <v>68</v>
      </c>
      <c r="D13" s="15" t="s">
        <v>46</v>
      </c>
      <c r="E13" s="17" t="s">
        <v>3</v>
      </c>
      <c r="F13" s="17" t="s">
        <v>36</v>
      </c>
      <c r="G13" s="17"/>
      <c r="H13" s="16" t="s">
        <v>69</v>
      </c>
    </row>
    <row r="14" customFormat="false" ht="15" hidden="false" customHeight="true" outlineLevel="0" collapsed="false">
      <c r="A14" s="14" t="s">
        <v>10</v>
      </c>
      <c r="B14" s="15" t="s">
        <v>67</v>
      </c>
      <c r="C14" s="16" t="s">
        <v>70</v>
      </c>
      <c r="D14" s="15" t="s">
        <v>52</v>
      </c>
      <c r="E14" s="17" t="s">
        <v>3</v>
      </c>
      <c r="F14" s="17" t="s">
        <v>36</v>
      </c>
      <c r="G14" s="17"/>
      <c r="H14" s="16"/>
    </row>
    <row r="15" customFormat="false" ht="15" hidden="false" customHeight="true" outlineLevel="0" collapsed="false">
      <c r="A15" s="14" t="s">
        <v>10</v>
      </c>
      <c r="B15" s="15" t="s">
        <v>67</v>
      </c>
      <c r="C15" s="16" t="s">
        <v>71</v>
      </c>
      <c r="D15" s="15" t="s">
        <v>56</v>
      </c>
      <c r="E15" s="17" t="s">
        <v>3</v>
      </c>
      <c r="F15" s="17" t="s">
        <v>36</v>
      </c>
      <c r="G15" s="17"/>
      <c r="H15" s="16"/>
    </row>
    <row r="16" customFormat="false" ht="15" hidden="false" customHeight="true" outlineLevel="0" collapsed="false">
      <c r="A16" s="14" t="s">
        <v>10</v>
      </c>
      <c r="B16" s="15" t="s">
        <v>72</v>
      </c>
      <c r="C16" s="16" t="s">
        <v>73</v>
      </c>
      <c r="D16" s="15" t="s">
        <v>74</v>
      </c>
      <c r="E16" s="17" t="s">
        <v>3</v>
      </c>
      <c r="F16" s="17" t="s">
        <v>36</v>
      </c>
      <c r="G16" s="17"/>
      <c r="H16" s="16"/>
    </row>
    <row r="17" customFormat="false" ht="15" hidden="false" customHeight="true" outlineLevel="0" collapsed="false">
      <c r="A17" s="14" t="s">
        <v>10</v>
      </c>
      <c r="B17" s="15" t="s">
        <v>75</v>
      </c>
      <c r="C17" s="16" t="s">
        <v>76</v>
      </c>
      <c r="D17" s="15" t="s">
        <v>74</v>
      </c>
      <c r="E17" s="17" t="s">
        <v>3</v>
      </c>
      <c r="F17" s="17" t="s">
        <v>36</v>
      </c>
      <c r="G17" s="17"/>
      <c r="H17" s="16"/>
    </row>
    <row r="18" customFormat="false" ht="15" hidden="false" customHeight="true" outlineLevel="0" collapsed="false">
      <c r="A18" s="14" t="s">
        <v>10</v>
      </c>
      <c r="B18" s="15" t="s">
        <v>77</v>
      </c>
      <c r="C18" s="16" t="s">
        <v>78</v>
      </c>
      <c r="D18" s="15" t="s">
        <v>74</v>
      </c>
      <c r="E18" s="17" t="s">
        <v>3</v>
      </c>
      <c r="F18" s="17" t="s">
        <v>36</v>
      </c>
      <c r="G18" s="17"/>
      <c r="H18" s="16"/>
    </row>
    <row r="19" customFormat="false" ht="15" hidden="false" customHeight="true" outlineLevel="0" collapsed="false">
      <c r="A19" s="14" t="s">
        <v>10</v>
      </c>
      <c r="B19" s="15" t="s">
        <v>79</v>
      </c>
      <c r="C19" s="16" t="s">
        <v>80</v>
      </c>
      <c r="D19" s="15" t="s">
        <v>74</v>
      </c>
      <c r="E19" s="17" t="s">
        <v>3</v>
      </c>
      <c r="F19" s="17" t="s">
        <v>36</v>
      </c>
      <c r="G19" s="17"/>
      <c r="H19" s="16"/>
    </row>
    <row r="20" customFormat="false" ht="15" hidden="false" customHeight="true" outlineLevel="0" collapsed="false">
      <c r="A20" s="14" t="s">
        <v>10</v>
      </c>
      <c r="B20" s="15" t="s">
        <v>81</v>
      </c>
      <c r="C20" s="16" t="s">
        <v>82</v>
      </c>
      <c r="D20" s="15" t="s">
        <v>74</v>
      </c>
      <c r="E20" s="17" t="s">
        <v>3</v>
      </c>
      <c r="F20" s="17" t="s">
        <v>36</v>
      </c>
      <c r="G20" s="17"/>
      <c r="H20" s="16"/>
    </row>
    <row r="21" customFormat="false" ht="15" hidden="false" customHeight="true" outlineLevel="0" collapsed="false">
      <c r="A21" s="14" t="s">
        <v>11</v>
      </c>
      <c r="B21" s="15" t="s">
        <v>83</v>
      </c>
      <c r="C21" s="16" t="s">
        <v>84</v>
      </c>
      <c r="D21" s="15" t="s">
        <v>74</v>
      </c>
      <c r="E21" s="17" t="s">
        <v>3</v>
      </c>
      <c r="F21" s="17" t="s">
        <v>36</v>
      </c>
      <c r="G21" s="17"/>
      <c r="H21" s="16"/>
    </row>
    <row r="22" customFormat="false" ht="15" hidden="false" customHeight="true" outlineLevel="0" collapsed="false">
      <c r="A22" s="14" t="s">
        <v>11</v>
      </c>
      <c r="B22" s="15" t="s">
        <v>85</v>
      </c>
      <c r="C22" s="16" t="s">
        <v>86</v>
      </c>
      <c r="D22" s="15" t="s">
        <v>74</v>
      </c>
      <c r="E22" s="17" t="s">
        <v>3</v>
      </c>
      <c r="F22" s="17" t="s">
        <v>36</v>
      </c>
      <c r="G22" s="17"/>
      <c r="H22" s="16"/>
    </row>
    <row r="23" customFormat="false" ht="15" hidden="false" customHeight="true" outlineLevel="0" collapsed="false">
      <c r="A23" s="14" t="s">
        <v>11</v>
      </c>
      <c r="B23" s="15" t="s">
        <v>87</v>
      </c>
      <c r="C23" s="16" t="s">
        <v>88</v>
      </c>
      <c r="D23" s="15" t="s">
        <v>74</v>
      </c>
      <c r="E23" s="17" t="s">
        <v>3</v>
      </c>
      <c r="F23" s="17" t="s">
        <v>47</v>
      </c>
      <c r="G23" s="17"/>
      <c r="H23" s="16" t="s">
        <v>89</v>
      </c>
    </row>
    <row r="24" customFormat="false" ht="15" hidden="false" customHeight="true" outlineLevel="0" collapsed="false">
      <c r="A24" s="14" t="s">
        <v>12</v>
      </c>
      <c r="B24" s="15" t="s">
        <v>90</v>
      </c>
      <c r="C24" s="16" t="s">
        <v>91</v>
      </c>
      <c r="D24" s="15" t="s">
        <v>46</v>
      </c>
      <c r="E24" s="17" t="s">
        <v>3</v>
      </c>
      <c r="F24" s="17" t="s">
        <v>36</v>
      </c>
      <c r="G24" s="17"/>
      <c r="H24" s="16"/>
    </row>
    <row r="25" customFormat="false" ht="15" hidden="false" customHeight="true" outlineLevel="0" collapsed="false">
      <c r="A25" s="14" t="s">
        <v>12</v>
      </c>
      <c r="B25" s="15" t="s">
        <v>92</v>
      </c>
      <c r="C25" s="16" t="s">
        <v>93</v>
      </c>
      <c r="D25" s="15" t="s">
        <v>52</v>
      </c>
      <c r="E25" s="17" t="s">
        <v>3</v>
      </c>
      <c r="F25" s="17" t="s">
        <v>94</v>
      </c>
      <c r="G25" s="17" t="s">
        <v>48</v>
      </c>
      <c r="H25" s="16" t="s">
        <v>95</v>
      </c>
    </row>
    <row r="26" customFormat="false" ht="15" hidden="false" customHeight="true" outlineLevel="0" collapsed="false">
      <c r="A26" s="14" t="s">
        <v>12</v>
      </c>
      <c r="B26" s="15" t="s">
        <v>96</v>
      </c>
      <c r="C26" s="16" t="s">
        <v>97</v>
      </c>
      <c r="D26" s="15" t="s">
        <v>56</v>
      </c>
      <c r="E26" s="17" t="s">
        <v>3</v>
      </c>
      <c r="F26" s="17" t="s">
        <v>94</v>
      </c>
      <c r="G26" s="17" t="s">
        <v>48</v>
      </c>
      <c r="H26" s="16" t="s">
        <v>95</v>
      </c>
    </row>
    <row r="27" customFormat="false" ht="15" hidden="false" customHeight="true" outlineLevel="0" collapsed="false">
      <c r="A27" s="14" t="s">
        <v>12</v>
      </c>
      <c r="B27" s="15" t="s">
        <v>98</v>
      </c>
      <c r="C27" s="16" t="s">
        <v>99</v>
      </c>
      <c r="D27" s="15" t="s">
        <v>74</v>
      </c>
      <c r="E27" s="17" t="s">
        <v>3</v>
      </c>
      <c r="F27" s="17" t="s">
        <v>94</v>
      </c>
      <c r="G27" s="17" t="s">
        <v>59</v>
      </c>
      <c r="H27" s="16" t="s">
        <v>53</v>
      </c>
    </row>
    <row r="28" customFormat="false" ht="15" hidden="false" customHeight="true" outlineLevel="0" collapsed="false">
      <c r="A28" s="14" t="s">
        <v>12</v>
      </c>
      <c r="B28" s="15" t="s">
        <v>100</v>
      </c>
      <c r="C28" s="16" t="s">
        <v>101</v>
      </c>
      <c r="D28" s="15" t="s">
        <v>74</v>
      </c>
      <c r="E28" s="17" t="s">
        <v>3</v>
      </c>
      <c r="F28" s="17" t="s">
        <v>36</v>
      </c>
      <c r="G28" s="17"/>
      <c r="H28" s="16"/>
    </row>
    <row r="29" customFormat="false" ht="15" hidden="false" customHeight="true" outlineLevel="0" collapsed="false">
      <c r="A29" s="14" t="s">
        <v>12</v>
      </c>
      <c r="B29" s="15" t="s">
        <v>102</v>
      </c>
      <c r="C29" s="16" t="s">
        <v>101</v>
      </c>
      <c r="D29" s="15" t="s">
        <v>74</v>
      </c>
      <c r="E29" s="17" t="s">
        <v>3</v>
      </c>
      <c r="F29" s="17" t="s">
        <v>36</v>
      </c>
      <c r="G29" s="17"/>
      <c r="H29" s="16"/>
    </row>
    <row r="30" customFormat="false" ht="15" hidden="false" customHeight="true" outlineLevel="0" collapsed="false">
      <c r="A30" s="14" t="s">
        <v>12</v>
      </c>
      <c r="B30" s="15" t="s">
        <v>103</v>
      </c>
      <c r="C30" s="16" t="s">
        <v>104</v>
      </c>
      <c r="D30" s="15" t="s">
        <v>74</v>
      </c>
      <c r="E30" s="17" t="s">
        <v>3</v>
      </c>
      <c r="F30" s="17" t="s">
        <v>36</v>
      </c>
      <c r="G30" s="17"/>
      <c r="H30" s="16"/>
    </row>
    <row r="31" customFormat="false" ht="15" hidden="false" customHeight="true" outlineLevel="0" collapsed="false">
      <c r="A31" s="14" t="s">
        <v>12</v>
      </c>
      <c r="B31" s="15" t="s">
        <v>105</v>
      </c>
      <c r="C31" s="16" t="s">
        <v>106</v>
      </c>
      <c r="D31" s="15" t="s">
        <v>74</v>
      </c>
      <c r="E31" s="17" t="s">
        <v>6</v>
      </c>
      <c r="F31" s="17" t="s">
        <v>48</v>
      </c>
      <c r="G31" s="17"/>
      <c r="H31" s="16"/>
    </row>
    <row r="32" customFormat="false" ht="15" hidden="false" customHeight="true" outlineLevel="0" collapsed="false">
      <c r="A32" s="14" t="s">
        <v>12</v>
      </c>
      <c r="B32" s="15" t="s">
        <v>107</v>
      </c>
      <c r="C32" s="16" t="s">
        <v>108</v>
      </c>
      <c r="D32" s="15" t="s">
        <v>74</v>
      </c>
      <c r="E32" s="17" t="s">
        <v>3</v>
      </c>
      <c r="F32" s="17" t="s">
        <v>36</v>
      </c>
      <c r="G32" s="17"/>
      <c r="H32" s="16"/>
    </row>
    <row r="33" customFormat="false" ht="15" hidden="false" customHeight="true" outlineLevel="0" collapsed="false">
      <c r="A33" s="14" t="s">
        <v>13</v>
      </c>
      <c r="B33" s="15" t="s">
        <v>109</v>
      </c>
      <c r="C33" s="16" t="s">
        <v>110</v>
      </c>
      <c r="D33" s="15" t="s">
        <v>35</v>
      </c>
      <c r="E33" s="17" t="s">
        <v>3</v>
      </c>
      <c r="F33" s="17" t="s">
        <v>48</v>
      </c>
      <c r="G33" s="17"/>
      <c r="H33" s="16" t="s">
        <v>111</v>
      </c>
    </row>
    <row r="34" customFormat="false" ht="15" hidden="false" customHeight="true" outlineLevel="0" collapsed="false">
      <c r="A34" s="14" t="s">
        <v>13</v>
      </c>
      <c r="B34" s="15" t="s">
        <v>112</v>
      </c>
      <c r="C34" s="16" t="s">
        <v>113</v>
      </c>
      <c r="D34" s="15" t="s">
        <v>35</v>
      </c>
      <c r="E34" s="17" t="s">
        <v>3</v>
      </c>
      <c r="F34" s="17" t="s">
        <v>48</v>
      </c>
      <c r="G34" s="17" t="s">
        <v>59</v>
      </c>
      <c r="H34" s="16" t="s">
        <v>114</v>
      </c>
    </row>
    <row r="35" customFormat="false" ht="15" hidden="false" customHeight="true" outlineLevel="0" collapsed="false">
      <c r="A35" s="14" t="s">
        <v>13</v>
      </c>
      <c r="B35" s="15" t="s">
        <v>115</v>
      </c>
      <c r="C35" s="16" t="s">
        <v>116</v>
      </c>
      <c r="D35" s="15" t="s">
        <v>35</v>
      </c>
      <c r="E35" s="17" t="s">
        <v>3</v>
      </c>
      <c r="F35" s="17" t="s">
        <v>48</v>
      </c>
      <c r="G35" s="17"/>
      <c r="H35" s="16" t="s">
        <v>117</v>
      </c>
    </row>
    <row r="36" customFormat="false" ht="15" hidden="false" customHeight="true" outlineLevel="0" collapsed="false">
      <c r="A36" s="14" t="s">
        <v>13</v>
      </c>
      <c r="B36" s="15" t="s">
        <v>118</v>
      </c>
      <c r="C36" s="16" t="s">
        <v>119</v>
      </c>
      <c r="D36" s="15" t="s">
        <v>35</v>
      </c>
      <c r="E36" s="17" t="s">
        <v>4</v>
      </c>
      <c r="F36" s="17" t="s">
        <v>64</v>
      </c>
      <c r="G36" s="17"/>
      <c r="H36" s="16" t="s">
        <v>120</v>
      </c>
    </row>
    <row r="37" customFormat="false" ht="15" hidden="false" customHeight="true" outlineLevel="0" collapsed="false">
      <c r="A37" s="14" t="s">
        <v>13</v>
      </c>
      <c r="B37" s="15" t="s">
        <v>121</v>
      </c>
      <c r="C37" s="16" t="s">
        <v>122</v>
      </c>
      <c r="D37" s="15" t="s">
        <v>35</v>
      </c>
      <c r="E37" s="17" t="s">
        <v>4</v>
      </c>
      <c r="F37" s="17" t="s">
        <v>48</v>
      </c>
      <c r="G37" s="17" t="s">
        <v>48</v>
      </c>
      <c r="H37" s="16" t="s">
        <v>123</v>
      </c>
    </row>
    <row r="38" customFormat="false" ht="15" hidden="false" customHeight="true" outlineLevel="0" collapsed="false">
      <c r="A38" s="14" t="s">
        <v>13</v>
      </c>
      <c r="B38" s="15" t="s">
        <v>124</v>
      </c>
      <c r="C38" s="16" t="s">
        <v>125</v>
      </c>
      <c r="D38" s="15" t="s">
        <v>35</v>
      </c>
      <c r="E38" s="17" t="s">
        <v>6</v>
      </c>
      <c r="F38" s="17" t="s">
        <v>48</v>
      </c>
      <c r="G38" s="17"/>
      <c r="H38" s="16"/>
    </row>
    <row r="39" customFormat="false" ht="15" hidden="false" customHeight="true" outlineLevel="0" collapsed="false">
      <c r="A39" s="14" t="s">
        <v>14</v>
      </c>
      <c r="B39" s="15" t="s">
        <v>126</v>
      </c>
      <c r="C39" s="16" t="s">
        <v>127</v>
      </c>
      <c r="D39" s="15" t="s">
        <v>35</v>
      </c>
      <c r="E39" s="17" t="s">
        <v>3</v>
      </c>
      <c r="F39" s="17" t="s">
        <v>128</v>
      </c>
      <c r="G39" s="17"/>
      <c r="H39" s="16" t="s">
        <v>129</v>
      </c>
    </row>
    <row r="40" customFormat="false" ht="15" hidden="false" customHeight="true" outlineLevel="0" collapsed="false">
      <c r="A40" s="14" t="s">
        <v>14</v>
      </c>
      <c r="B40" s="15" t="s">
        <v>130</v>
      </c>
      <c r="C40" s="16" t="s">
        <v>131</v>
      </c>
      <c r="D40" s="15" t="s">
        <v>74</v>
      </c>
      <c r="E40" s="17" t="s">
        <v>4</v>
      </c>
      <c r="F40" s="17" t="s">
        <v>128</v>
      </c>
      <c r="G40" s="17" t="s">
        <v>59</v>
      </c>
      <c r="H40" s="16" t="s">
        <v>132</v>
      </c>
    </row>
    <row r="41" customFormat="false" ht="15" hidden="false" customHeight="true" outlineLevel="0" collapsed="false">
      <c r="A41" s="14" t="s">
        <v>14</v>
      </c>
      <c r="B41" s="15" t="s">
        <v>133</v>
      </c>
      <c r="C41" s="16" t="s">
        <v>134</v>
      </c>
      <c r="D41" s="15" t="s">
        <v>35</v>
      </c>
      <c r="E41" s="17" t="s">
        <v>3</v>
      </c>
      <c r="F41" s="17" t="s">
        <v>128</v>
      </c>
      <c r="G41" s="17"/>
      <c r="H41" s="16" t="s">
        <v>135</v>
      </c>
    </row>
    <row r="42" customFormat="false" ht="15" hidden="false" customHeight="true" outlineLevel="0" collapsed="false">
      <c r="A42" s="14" t="s">
        <v>14</v>
      </c>
      <c r="B42" s="15" t="s">
        <v>136</v>
      </c>
      <c r="C42" s="16" t="s">
        <v>137</v>
      </c>
      <c r="D42" s="15" t="s">
        <v>35</v>
      </c>
      <c r="E42" s="17" t="s">
        <v>4</v>
      </c>
      <c r="F42" s="17" t="s">
        <v>128</v>
      </c>
      <c r="G42" s="17" t="s">
        <v>48</v>
      </c>
      <c r="H42" s="16" t="s">
        <v>138</v>
      </c>
    </row>
    <row r="43" customFormat="false" ht="15" hidden="false" customHeight="true" outlineLevel="0" collapsed="false">
      <c r="A43" s="14" t="s">
        <v>14</v>
      </c>
      <c r="B43" s="15" t="s">
        <v>139</v>
      </c>
      <c r="C43" s="16" t="s">
        <v>140</v>
      </c>
      <c r="D43" s="15" t="s">
        <v>35</v>
      </c>
      <c r="E43" s="17" t="s">
        <v>4</v>
      </c>
      <c r="F43" s="17" t="s">
        <v>128</v>
      </c>
      <c r="G43" s="17"/>
      <c r="H43" s="16" t="s">
        <v>141</v>
      </c>
    </row>
    <row r="44" customFormat="false" ht="15" hidden="false" customHeight="true" outlineLevel="0" collapsed="false">
      <c r="A44" s="14" t="s">
        <v>14</v>
      </c>
      <c r="B44" s="15" t="s">
        <v>142</v>
      </c>
      <c r="C44" s="16" t="s">
        <v>143</v>
      </c>
      <c r="D44" s="15" t="s">
        <v>35</v>
      </c>
      <c r="E44" s="17" t="s">
        <v>6</v>
      </c>
      <c r="F44" s="17" t="s">
        <v>144</v>
      </c>
      <c r="G44" s="17"/>
      <c r="H44" s="16"/>
    </row>
    <row r="45" customFormat="false" ht="15" hidden="false" customHeight="true" outlineLevel="0" collapsed="false">
      <c r="A45" s="14" t="s">
        <v>15</v>
      </c>
      <c r="B45" s="15" t="s">
        <v>77</v>
      </c>
      <c r="C45" s="16" t="s">
        <v>145</v>
      </c>
      <c r="D45" s="15" t="s">
        <v>74</v>
      </c>
      <c r="E45" s="17" t="s">
        <v>3</v>
      </c>
      <c r="F45" s="17" t="s">
        <v>36</v>
      </c>
      <c r="G45" s="17"/>
      <c r="H45" s="16"/>
    </row>
    <row r="46" customFormat="false" ht="15" hidden="false" customHeight="true" outlineLevel="0" collapsed="false">
      <c r="A46" s="14" t="s">
        <v>15</v>
      </c>
      <c r="B46" s="15" t="s">
        <v>146</v>
      </c>
      <c r="C46" s="16" t="s">
        <v>147</v>
      </c>
      <c r="D46" s="15" t="s">
        <v>74</v>
      </c>
      <c r="E46" s="17" t="s">
        <v>3</v>
      </c>
      <c r="F46" s="17" t="s">
        <v>36</v>
      </c>
      <c r="G46" s="17"/>
      <c r="H46" s="16"/>
    </row>
    <row r="47" customFormat="false" ht="15" hidden="false" customHeight="true" outlineLevel="0" collapsed="false">
      <c r="A47" s="14" t="s">
        <v>15</v>
      </c>
      <c r="B47" s="15" t="s">
        <v>148</v>
      </c>
      <c r="C47" s="16" t="s">
        <v>149</v>
      </c>
      <c r="D47" s="15" t="s">
        <v>74</v>
      </c>
      <c r="E47" s="17" t="s">
        <v>3</v>
      </c>
      <c r="F47" s="17" t="s">
        <v>36</v>
      </c>
      <c r="G47" s="17"/>
      <c r="H47" s="16"/>
    </row>
    <row r="48" customFormat="false" ht="23.25" hidden="false" customHeight="true" outlineLevel="0" collapsed="false">
      <c r="A48" s="14" t="s">
        <v>15</v>
      </c>
      <c r="B48" s="15" t="s">
        <v>150</v>
      </c>
      <c r="C48" s="16" t="s">
        <v>151</v>
      </c>
      <c r="D48" s="15" t="s">
        <v>74</v>
      </c>
      <c r="E48" s="17" t="s">
        <v>3</v>
      </c>
      <c r="F48" s="17" t="s">
        <v>152</v>
      </c>
      <c r="G48" s="17" t="s">
        <v>153</v>
      </c>
      <c r="H48" s="16" t="s">
        <v>154</v>
      </c>
    </row>
    <row r="49" customFormat="false" ht="15" hidden="false" customHeight="true" outlineLevel="0" collapsed="false">
      <c r="A49" s="14" t="s">
        <v>15</v>
      </c>
      <c r="B49" s="15" t="s">
        <v>155</v>
      </c>
      <c r="C49" s="16" t="s">
        <v>156</v>
      </c>
      <c r="D49" s="15" t="s">
        <v>74</v>
      </c>
      <c r="E49" s="17" t="s">
        <v>6</v>
      </c>
      <c r="F49" s="17" t="s">
        <v>152</v>
      </c>
      <c r="G49" s="17"/>
      <c r="H49" s="16"/>
    </row>
    <row r="50" customFormat="false" ht="15" hidden="false" customHeight="true" outlineLevel="0" collapsed="false">
      <c r="A50" s="14" t="s">
        <v>15</v>
      </c>
      <c r="B50" s="15" t="s">
        <v>157</v>
      </c>
      <c r="C50" s="16" t="s">
        <v>158</v>
      </c>
      <c r="D50" s="15" t="s">
        <v>74</v>
      </c>
      <c r="E50" s="17" t="s">
        <v>6</v>
      </c>
      <c r="F50" s="17" t="s">
        <v>159</v>
      </c>
      <c r="G50" s="17"/>
      <c r="H50" s="16"/>
    </row>
    <row r="51" customFormat="false" ht="15" hidden="false" customHeight="true" outlineLevel="0" collapsed="false">
      <c r="A51" s="14" t="s">
        <v>15</v>
      </c>
      <c r="B51" s="15" t="s">
        <v>160</v>
      </c>
      <c r="C51" s="16" t="s">
        <v>161</v>
      </c>
      <c r="D51" s="15" t="s">
        <v>74</v>
      </c>
      <c r="E51" s="17" t="s">
        <v>6</v>
      </c>
      <c r="F51" s="17" t="s">
        <v>159</v>
      </c>
      <c r="G51" s="17"/>
      <c r="H51" s="16"/>
    </row>
    <row r="52" customFormat="false" ht="15" hidden="false" customHeight="true" outlineLevel="0" collapsed="false">
      <c r="A52" s="14" t="s">
        <v>15</v>
      </c>
      <c r="B52" s="15" t="s">
        <v>162</v>
      </c>
      <c r="C52" s="16" t="s">
        <v>163</v>
      </c>
      <c r="D52" s="15" t="s">
        <v>74</v>
      </c>
      <c r="E52" s="17" t="s">
        <v>3</v>
      </c>
      <c r="F52" s="17" t="s">
        <v>152</v>
      </c>
      <c r="G52" s="17" t="s">
        <v>59</v>
      </c>
      <c r="H52" s="16" t="s">
        <v>164</v>
      </c>
    </row>
    <row r="53" customFormat="false" ht="15" hidden="false" customHeight="true" outlineLevel="0" collapsed="false">
      <c r="A53" s="14" t="s">
        <v>16</v>
      </c>
      <c r="B53" s="15" t="s">
        <v>165</v>
      </c>
      <c r="C53" s="16" t="s">
        <v>166</v>
      </c>
      <c r="D53" s="15" t="s">
        <v>74</v>
      </c>
      <c r="E53" s="17" t="s">
        <v>3</v>
      </c>
      <c r="F53" s="17" t="s">
        <v>152</v>
      </c>
      <c r="G53" s="17" t="s">
        <v>48</v>
      </c>
      <c r="H53" s="16" t="s">
        <v>167</v>
      </c>
    </row>
    <row r="54" customFormat="false" ht="15" hidden="false" customHeight="true" outlineLevel="0" collapsed="false">
      <c r="A54" s="14" t="s">
        <v>16</v>
      </c>
      <c r="B54" s="15" t="s">
        <v>168</v>
      </c>
      <c r="C54" s="16" t="s">
        <v>169</v>
      </c>
      <c r="D54" s="15" t="s">
        <v>74</v>
      </c>
      <c r="E54" s="17" t="s">
        <v>3</v>
      </c>
      <c r="F54" s="17" t="s">
        <v>152</v>
      </c>
      <c r="G54" s="17"/>
      <c r="H54" s="16" t="s">
        <v>170</v>
      </c>
    </row>
    <row r="55" customFormat="false" ht="15" hidden="false" customHeight="true" outlineLevel="0" collapsed="false">
      <c r="A55" s="14" t="s">
        <v>16</v>
      </c>
      <c r="B55" s="15" t="s">
        <v>171</v>
      </c>
      <c r="C55" s="16" t="s">
        <v>172</v>
      </c>
      <c r="D55" s="15" t="s">
        <v>74</v>
      </c>
      <c r="E55" s="17" t="s">
        <v>4</v>
      </c>
      <c r="F55" s="17" t="s">
        <v>152</v>
      </c>
      <c r="G55" s="17"/>
      <c r="H55" s="16" t="s">
        <v>173</v>
      </c>
    </row>
    <row r="56" customFormat="false" ht="15" hidden="false" customHeight="true" outlineLevel="0" collapsed="false">
      <c r="A56" s="14" t="s">
        <v>16</v>
      </c>
      <c r="B56" s="15" t="s">
        <v>174</v>
      </c>
      <c r="C56" s="16" t="s">
        <v>175</v>
      </c>
      <c r="D56" s="15" t="s">
        <v>74</v>
      </c>
      <c r="E56" s="17" t="s">
        <v>6</v>
      </c>
      <c r="F56" s="17" t="s">
        <v>64</v>
      </c>
      <c r="G56" s="17"/>
      <c r="H56" s="16"/>
    </row>
    <row r="57" customFormat="false" ht="15" hidden="false" customHeight="true" outlineLevel="0" collapsed="false">
      <c r="A57" s="14" t="s">
        <v>16</v>
      </c>
      <c r="B57" s="15" t="s">
        <v>176</v>
      </c>
      <c r="C57" s="16" t="s">
        <v>177</v>
      </c>
      <c r="D57" s="15" t="s">
        <v>74</v>
      </c>
      <c r="E57" s="17" t="s">
        <v>6</v>
      </c>
      <c r="F57" s="17" t="s">
        <v>144</v>
      </c>
      <c r="G57" s="17"/>
      <c r="H57" s="16"/>
    </row>
    <row r="58" customFormat="false" ht="15" hidden="false" customHeight="true" outlineLevel="0" collapsed="false">
      <c r="A58" s="14" t="s">
        <v>17</v>
      </c>
      <c r="B58" s="15" t="s">
        <v>178</v>
      </c>
      <c r="C58" s="16" t="s">
        <v>179</v>
      </c>
      <c r="D58" s="15" t="s">
        <v>74</v>
      </c>
      <c r="E58" s="17" t="s">
        <v>3</v>
      </c>
      <c r="F58" s="17" t="s">
        <v>36</v>
      </c>
      <c r="G58" s="17"/>
      <c r="H58" s="16"/>
    </row>
    <row r="59" customFormat="false" ht="15" hidden="false" customHeight="true" outlineLevel="0" collapsed="false">
      <c r="A59" s="14" t="s">
        <v>17</v>
      </c>
      <c r="B59" s="15" t="s">
        <v>180</v>
      </c>
      <c r="C59" s="16" t="s">
        <v>181</v>
      </c>
      <c r="D59" s="15" t="s">
        <v>74</v>
      </c>
      <c r="E59" s="17" t="s">
        <v>6</v>
      </c>
      <c r="F59" s="17" t="s">
        <v>159</v>
      </c>
      <c r="G59" s="17"/>
      <c r="H59" s="16"/>
    </row>
    <row r="60" customFormat="false" ht="15" hidden="false" customHeight="true" outlineLevel="0" collapsed="false">
      <c r="A60" s="14" t="s">
        <v>17</v>
      </c>
      <c r="B60" s="15" t="s">
        <v>182</v>
      </c>
      <c r="C60" s="16" t="s">
        <v>183</v>
      </c>
      <c r="D60" s="15" t="s">
        <v>74</v>
      </c>
      <c r="E60" s="17" t="s">
        <v>6</v>
      </c>
      <c r="F60" s="17" t="s">
        <v>159</v>
      </c>
      <c r="G60" s="17"/>
      <c r="H60" s="16"/>
    </row>
    <row r="61" customFormat="false" ht="15" hidden="false" customHeight="true" outlineLevel="0" collapsed="false">
      <c r="A61" s="14" t="s">
        <v>17</v>
      </c>
      <c r="B61" s="15" t="s">
        <v>184</v>
      </c>
      <c r="C61" s="16" t="s">
        <v>185</v>
      </c>
      <c r="D61" s="15" t="s">
        <v>74</v>
      </c>
      <c r="E61" s="17" t="s">
        <v>6</v>
      </c>
      <c r="F61" s="17" t="s">
        <v>159</v>
      </c>
      <c r="G61" s="17"/>
      <c r="H61" s="16"/>
    </row>
    <row r="62" customFormat="false" ht="15" hidden="false" customHeight="true" outlineLevel="0" collapsed="false">
      <c r="A62" s="14" t="s">
        <v>17</v>
      </c>
      <c r="B62" s="15" t="s">
        <v>186</v>
      </c>
      <c r="C62" s="16" t="s">
        <v>187</v>
      </c>
      <c r="D62" s="15" t="s">
        <v>74</v>
      </c>
      <c r="E62" s="17" t="s">
        <v>6</v>
      </c>
      <c r="F62" s="17" t="s">
        <v>159</v>
      </c>
      <c r="G62" s="17"/>
      <c r="H62" s="16"/>
    </row>
    <row r="63" customFormat="false" ht="15" hidden="false" customHeight="true" outlineLevel="0" collapsed="false">
      <c r="A63" s="14" t="s">
        <v>17</v>
      </c>
      <c r="B63" s="15" t="s">
        <v>188</v>
      </c>
      <c r="C63" s="16" t="s">
        <v>189</v>
      </c>
      <c r="D63" s="15" t="s">
        <v>74</v>
      </c>
      <c r="E63" s="17" t="s">
        <v>6</v>
      </c>
      <c r="F63" s="17" t="s">
        <v>159</v>
      </c>
      <c r="G63" s="17"/>
      <c r="H63" s="16"/>
    </row>
    <row r="64" customFormat="false" ht="15" hidden="false" customHeight="true" outlineLevel="0" collapsed="false">
      <c r="A64" s="14" t="s">
        <v>17</v>
      </c>
      <c r="B64" s="15" t="s">
        <v>190</v>
      </c>
      <c r="C64" s="16" t="s">
        <v>191</v>
      </c>
      <c r="D64" s="15" t="s">
        <v>74</v>
      </c>
      <c r="E64" s="17" t="s">
        <v>6</v>
      </c>
      <c r="F64" s="17" t="s">
        <v>144</v>
      </c>
      <c r="G64" s="17"/>
      <c r="H64" s="16"/>
    </row>
    <row r="65" customFormat="false" ht="15" hidden="false" customHeight="true" outlineLevel="0" collapsed="false">
      <c r="A65" s="14" t="s">
        <v>18</v>
      </c>
      <c r="B65" s="15" t="s">
        <v>192</v>
      </c>
      <c r="C65" s="16" t="s">
        <v>193</v>
      </c>
      <c r="D65" s="15" t="s">
        <v>74</v>
      </c>
      <c r="E65" s="17" t="s">
        <v>6</v>
      </c>
      <c r="F65" s="17" t="s">
        <v>64</v>
      </c>
      <c r="G65" s="17"/>
      <c r="H65" s="16"/>
    </row>
    <row r="66" customFormat="false" ht="15" hidden="false" customHeight="true" outlineLevel="0" collapsed="false">
      <c r="A66" s="14" t="s">
        <v>18</v>
      </c>
      <c r="B66" s="15" t="s">
        <v>194</v>
      </c>
      <c r="C66" s="16" t="s">
        <v>195</v>
      </c>
      <c r="D66" s="15" t="s">
        <v>74</v>
      </c>
      <c r="E66" s="17" t="s">
        <v>4</v>
      </c>
      <c r="F66" s="17" t="s">
        <v>64</v>
      </c>
      <c r="G66" s="17"/>
      <c r="H66" s="16" t="s">
        <v>196</v>
      </c>
    </row>
    <row r="67" customFormat="false" ht="15" hidden="false" customHeight="true" outlineLevel="0" collapsed="false">
      <c r="A67" s="14" t="s">
        <v>18</v>
      </c>
      <c r="B67" s="15" t="s">
        <v>197</v>
      </c>
      <c r="C67" s="16" t="s">
        <v>198</v>
      </c>
      <c r="D67" s="15" t="s">
        <v>74</v>
      </c>
      <c r="E67" s="17" t="s">
        <v>6</v>
      </c>
      <c r="F67" s="17" t="s">
        <v>64</v>
      </c>
      <c r="G67" s="17"/>
      <c r="H67" s="16"/>
    </row>
    <row r="68" customFormat="false" ht="15" hidden="false" customHeight="true" outlineLevel="0" collapsed="false">
      <c r="A68" s="14" t="s">
        <v>19</v>
      </c>
      <c r="B68" s="15" t="s">
        <v>199</v>
      </c>
      <c r="C68" s="16" t="s">
        <v>200</v>
      </c>
      <c r="D68" s="15" t="s">
        <v>74</v>
      </c>
      <c r="E68" s="17" t="s">
        <v>6</v>
      </c>
      <c r="F68" s="17" t="s">
        <v>48</v>
      </c>
      <c r="G68" s="17"/>
      <c r="H68" s="16"/>
    </row>
    <row r="69" customFormat="false" ht="15" hidden="false" customHeight="true" outlineLevel="0" collapsed="false">
      <c r="A69" s="14" t="s">
        <v>19</v>
      </c>
      <c r="B69" s="15" t="s">
        <v>201</v>
      </c>
      <c r="C69" s="16" t="s">
        <v>202</v>
      </c>
      <c r="D69" s="15" t="s">
        <v>74</v>
      </c>
      <c r="E69" s="17" t="s">
        <v>6</v>
      </c>
      <c r="F69" s="17" t="s">
        <v>48</v>
      </c>
      <c r="G69" s="17"/>
      <c r="H69" s="16"/>
    </row>
  </sheetData>
  <autoFilter ref="A1:H69"/>
  <conditionalFormatting sqref="E2:E69">
    <cfRule type="cellIs" priority="2" operator="equal" aboveAverage="0" equalAverage="0" bottom="0" percent="0" rank="0" text="" dxfId="10">
      <formula>"Built"</formula>
    </cfRule>
    <cfRule type="cellIs" priority="3" operator="equal" aboveAverage="0" equalAverage="0" bottom="0" percent="0" rank="0" text="" dxfId="11">
      <formula>"Partial"</formula>
    </cfRule>
    <cfRule type="cellIs" priority="4" operator="equal" aboveAverage="0" equalAverage="0" bottom="0" percent="0" rank="0" text="" dxfId="11">
      <formula>"In Progress"</formula>
    </cfRule>
    <cfRule type="cellIs" priority="5" operator="equal" aboveAverage="0" equalAverage="0" bottom="0" percent="0" rank="0" text="" dxfId="12">
      <formula>"Not Built"</formula>
    </cfRule>
  </conditionalFormatting>
  <dataValidations count="1">
    <dataValidation allowBlank="false" errorStyle="stop" operator="between" showDropDown="false" showErrorMessage="false" showInputMessage="false" sqref="E2:E69" type="list">
      <formula1>"Built,Partial,In Progress,Not Built"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2026-07-09T17:17:05Z</dcterms:created>
  <dc:creator>openpyxl</dc:creator>
  <dc:description/>
  <dc:language>en-US</dc:language>
  <cp:lastModifiedBy/>
  <dcterms:modified xsi:type="dcterms:W3CDTF">2026-07-11T16:32:49Z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